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작업\프로그램 만들기\연세바로치과 스케줄러\docs\"/>
    </mc:Choice>
  </mc:AlternateContent>
  <bookViews>
    <workbookView xWindow="600" yWindow="525" windowWidth="27735" windowHeight="11925"/>
  </bookViews>
  <sheets>
    <sheet name="의사조합" sheetId="1" r:id="rId1"/>
    <sheet name="의사목록" sheetId="2" r:id="rId2"/>
  </sheets>
  <calcPr calcId="162913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2" i="1"/>
</calcChain>
</file>

<file path=xl/sharedStrings.xml><?xml version="1.0" encoding="utf-8"?>
<sst xmlns="http://schemas.openxmlformats.org/spreadsheetml/2006/main" count="82" uniqueCount="29">
  <si>
    <t>조합명</t>
  </si>
  <si>
    <t>요일</t>
  </si>
  <si>
    <t>필요인원</t>
  </si>
  <si>
    <t>의사1</t>
  </si>
  <si>
    <t>의사2</t>
  </si>
  <si>
    <t>의사3</t>
  </si>
  <si>
    <t>월요일</t>
  </si>
  <si>
    <t>의사명</t>
  </si>
  <si>
    <t>황우상</t>
  </si>
  <si>
    <t>구윤진</t>
  </si>
  <si>
    <t>박효진</t>
  </si>
  <si>
    <t>윤아향</t>
  </si>
  <si>
    <t>황</t>
    <phoneticPr fontId="1" type="noConversion"/>
  </si>
  <si>
    <t>구</t>
    <phoneticPr fontId="1" type="noConversion"/>
  </si>
  <si>
    <t>윤</t>
    <phoneticPr fontId="1" type="noConversion"/>
  </si>
  <si>
    <t>구분</t>
    <phoneticPr fontId="1" type="noConversion"/>
  </si>
  <si>
    <t>화요일</t>
    <phoneticPr fontId="1" type="noConversion"/>
  </si>
  <si>
    <t>수요일</t>
    <phoneticPr fontId="1" type="noConversion"/>
  </si>
  <si>
    <t>효</t>
    <phoneticPr fontId="1" type="noConversion"/>
  </si>
  <si>
    <t>야간</t>
    <phoneticPr fontId="1" type="noConversion"/>
  </si>
  <si>
    <t>목요일</t>
  </si>
  <si>
    <t>목요일</t>
    <phoneticPr fontId="1" type="noConversion"/>
  </si>
  <si>
    <t>금요일</t>
    <phoneticPr fontId="1" type="noConversion"/>
  </si>
  <si>
    <t>토요일</t>
    <phoneticPr fontId="1" type="noConversion"/>
  </si>
  <si>
    <t>박</t>
    <phoneticPr fontId="1" type="noConversion"/>
  </si>
  <si>
    <t>박창범</t>
  </si>
  <si>
    <t>박창범</t>
    <phoneticPr fontId="1" type="noConversion"/>
  </si>
  <si>
    <t>`</t>
    <phoneticPr fontId="1" type="noConversion"/>
  </si>
  <si>
    <t>구분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</si>
</sst>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D2" sqref="D2"/>
    </sheetView>
  </sheetViews>
  <sheetFormatPr defaultRowHeight="17.25" x14ac:dyDescent="0.3"/>
  <cols>
    <col min="1" max="1" width="15.77734375" customWidth="1"/>
    <col min="2" max="4" width="10.77734375" customWidth="1"/>
    <col min="5" max="7" width="15.77734375" customWidth="1"/>
    <col min="14" max="14" width="11.6640625" bestFit="1" customWidth="1"/>
    <col min="15" max="15" width="8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28</v>
      </c>
      <c r="E1" t="s">
        <v>3</v>
      </c>
      <c r="F1" t="s">
        <v>4</v>
      </c>
      <c r="G1" t="s">
        <v>5</v>
      </c>
    </row>
    <row r="2" spans="1:9" x14ac:dyDescent="0.3">
      <c r="A2" t="str">
        <f>IF(G2="",VLOOKUP(E2,의사목록!$A:$B,2,FALSE)&amp;VLOOKUP(F2,의사목록!$A:$B,2,FALSE),VLOOKUP(E2,의사목록!$A:$B,2,FALSE)&amp;VLOOKUP(F2,의사목록!$A:$B,2,FALSE)&amp;VLOOKUP(G2,의사목록!$A:$B,2,FALSE))</f>
        <v>박구윤</v>
      </c>
      <c r="B2" t="s">
        <v>6</v>
      </c>
      <c r="C2">
        <v>9</v>
      </c>
      <c r="E2" t="s">
        <v>25</v>
      </c>
      <c r="F2" t="s">
        <v>9</v>
      </c>
      <c r="G2" t="s">
        <v>11</v>
      </c>
    </row>
    <row r="3" spans="1:9" x14ac:dyDescent="0.3">
      <c r="A3" t="str">
        <f>IF(G3="",VLOOKUP(E3,의사목록!$A:$B,2,FALSE)&amp;VLOOKUP(F3,의사목록!$A:$B,2,FALSE),VLOOKUP(E3,의사목록!$A:$B,2,FALSE)&amp;VLOOKUP(F3,의사목록!$A:$B,2,FALSE)&amp;VLOOKUP(G3,의사목록!$A:$B,2,FALSE))</f>
        <v>구윤</v>
      </c>
      <c r="B3" t="s">
        <v>6</v>
      </c>
      <c r="C3">
        <v>8</v>
      </c>
      <c r="E3" t="s">
        <v>9</v>
      </c>
      <c r="F3" t="s">
        <v>11</v>
      </c>
    </row>
    <row r="4" spans="1:9" x14ac:dyDescent="0.3">
      <c r="A4" t="str">
        <f>IF(G4="",VLOOKUP(E4,의사목록!$A:$B,2,FALSE)&amp;VLOOKUP(F4,의사목록!$A:$B,2,FALSE),VLOOKUP(E4,의사목록!$A:$B,2,FALSE)&amp;VLOOKUP(F4,의사목록!$A:$B,2,FALSE)&amp;VLOOKUP(G4,의사목록!$A:$B,2,FALSE))</f>
        <v>박구윤</v>
      </c>
      <c r="B4" t="s">
        <v>6</v>
      </c>
      <c r="C4">
        <v>14</v>
      </c>
      <c r="D4" t="s">
        <v>19</v>
      </c>
      <c r="E4" t="s">
        <v>25</v>
      </c>
      <c r="F4" t="s">
        <v>9</v>
      </c>
      <c r="G4" t="s">
        <v>11</v>
      </c>
    </row>
    <row r="5" spans="1:9" x14ac:dyDescent="0.3">
      <c r="A5" t="str">
        <f>IF(G5="",VLOOKUP(E5,의사목록!$A:$B,2,FALSE)&amp;VLOOKUP(F5,의사목록!$A:$B,2,FALSE),VLOOKUP(E5,의사목록!$A:$B,2,FALSE)&amp;VLOOKUP(F5,의사목록!$A:$B,2,FALSE)&amp;VLOOKUP(G5,의사목록!$A:$B,2,FALSE))</f>
        <v>박구황</v>
      </c>
      <c r="B5" t="s">
        <v>16</v>
      </c>
      <c r="C5">
        <v>15</v>
      </c>
      <c r="D5" t="s">
        <v>19</v>
      </c>
      <c r="E5" t="s">
        <v>25</v>
      </c>
      <c r="F5" t="s">
        <v>9</v>
      </c>
      <c r="G5" t="s">
        <v>8</v>
      </c>
    </row>
    <row r="6" spans="1:9" x14ac:dyDescent="0.3">
      <c r="A6" t="str">
        <f>IF(G6="",VLOOKUP(E6,의사목록!$A:$B,2,FALSE)&amp;VLOOKUP(F6,의사목록!$A:$B,2,FALSE),VLOOKUP(E6,의사목록!$A:$B,2,FALSE)&amp;VLOOKUP(F6,의사목록!$A:$B,2,FALSE)&amp;VLOOKUP(G6,의사목록!$A:$B,2,FALSE))</f>
        <v>박황윤</v>
      </c>
      <c r="B6" t="s">
        <v>16</v>
      </c>
      <c r="C6">
        <v>8</v>
      </c>
      <c r="E6" t="s">
        <v>25</v>
      </c>
      <c r="F6" t="s">
        <v>8</v>
      </c>
      <c r="G6" t="s">
        <v>11</v>
      </c>
    </row>
    <row r="7" spans="1:9" x14ac:dyDescent="0.3">
      <c r="A7" t="str">
        <f>IF(G7="",VLOOKUP(E7,의사목록!$A:$B,2,FALSE)&amp;VLOOKUP(F7,의사목록!$A:$B,2,FALSE),VLOOKUP(E7,의사목록!$A:$B,2,FALSE)&amp;VLOOKUP(F7,의사목록!$A:$B,2,FALSE)&amp;VLOOKUP(G7,의사목록!$A:$B,2,FALSE))</f>
        <v>박효윤</v>
      </c>
      <c r="B7" t="s">
        <v>17</v>
      </c>
      <c r="C7">
        <v>14</v>
      </c>
      <c r="D7" t="s">
        <v>19</v>
      </c>
      <c r="E7" t="s">
        <v>25</v>
      </c>
      <c r="F7" t="s">
        <v>10</v>
      </c>
      <c r="G7" t="s">
        <v>11</v>
      </c>
      <c r="I7" t="s">
        <v>27</v>
      </c>
    </row>
    <row r="8" spans="1:9" x14ac:dyDescent="0.3">
      <c r="A8" t="str">
        <f>IF(G8="",VLOOKUP(E8,의사목록!$A:$B,2,FALSE)&amp;VLOOKUP(F8,의사목록!$A:$B,2,FALSE),VLOOKUP(E8,의사목록!$A:$B,2,FALSE)&amp;VLOOKUP(F8,의사목록!$A:$B,2,FALSE)&amp;VLOOKUP(G8,의사목록!$A:$B,2,FALSE))</f>
        <v>구윤</v>
      </c>
      <c r="B8" t="s">
        <v>21</v>
      </c>
      <c r="C8">
        <v>6</v>
      </c>
      <c r="E8" t="s">
        <v>9</v>
      </c>
      <c r="F8" t="s">
        <v>11</v>
      </c>
    </row>
    <row r="9" spans="1:9" x14ac:dyDescent="0.3">
      <c r="A9" t="str">
        <f>IF(G9="",VLOOKUP(E9,의사목록!$A:$B,2,FALSE)&amp;VLOOKUP(F9,의사목록!$A:$B,2,FALSE),VLOOKUP(E9,의사목록!$A:$B,2,FALSE)&amp;VLOOKUP(F9,의사목록!$A:$B,2,FALSE)&amp;VLOOKUP(G9,의사목록!$A:$B,2,FALSE))</f>
        <v>효윤</v>
      </c>
      <c r="B9" t="s">
        <v>21</v>
      </c>
      <c r="C9">
        <v>6</v>
      </c>
      <c r="E9" t="s">
        <v>10</v>
      </c>
      <c r="F9" t="s">
        <v>11</v>
      </c>
    </row>
    <row r="10" spans="1:9" x14ac:dyDescent="0.3">
      <c r="A10" t="str">
        <f>IF(G10="",VLOOKUP(E10,의사목록!$A:$B,2,FALSE)&amp;VLOOKUP(F10,의사목록!$A:$B,2,FALSE),VLOOKUP(E10,의사목록!$A:$B,2,FALSE)&amp;VLOOKUP(F10,의사목록!$A:$B,2,FALSE)&amp;VLOOKUP(G10,의사목록!$A:$B,2,FALSE))</f>
        <v>박구효</v>
      </c>
      <c r="B10" t="s">
        <v>20</v>
      </c>
      <c r="C10">
        <v>15</v>
      </c>
      <c r="D10" t="s">
        <v>19</v>
      </c>
      <c r="E10" t="s">
        <v>25</v>
      </c>
      <c r="F10" t="s">
        <v>9</v>
      </c>
      <c r="G10" t="s">
        <v>10</v>
      </c>
    </row>
    <row r="11" spans="1:9" x14ac:dyDescent="0.3">
      <c r="A11" t="str">
        <f>IF(G11="",VLOOKUP(E11,의사목록!$A:$B,2,FALSE)&amp;VLOOKUP(F11,의사목록!$A:$B,2,FALSE),VLOOKUP(E11,의사목록!$A:$B,2,FALSE)&amp;VLOOKUP(F11,의사목록!$A:$B,2,FALSE)&amp;VLOOKUP(G11,의사목록!$A:$B,2,FALSE))</f>
        <v>구효</v>
      </c>
      <c r="B11" t="s">
        <v>20</v>
      </c>
      <c r="C11">
        <v>8</v>
      </c>
      <c r="D11" t="s">
        <v>19</v>
      </c>
      <c r="E11" t="s">
        <v>9</v>
      </c>
      <c r="F11" t="s">
        <v>10</v>
      </c>
    </row>
    <row r="12" spans="1:9" x14ac:dyDescent="0.3">
      <c r="A12" t="str">
        <f>IF(G12="",VLOOKUP(E12,의사목록!$A:$B,2,FALSE)&amp;VLOOKUP(F12,의사목록!$A:$B,2,FALSE),VLOOKUP(E12,의사목록!$A:$B,2,FALSE)&amp;VLOOKUP(F12,의사목록!$A:$B,2,FALSE)&amp;VLOOKUP(G12,의사목록!$A:$B,2,FALSE))</f>
        <v>박황</v>
      </c>
      <c r="B12" t="s">
        <v>22</v>
      </c>
      <c r="C12">
        <v>14</v>
      </c>
      <c r="D12" t="s">
        <v>19</v>
      </c>
      <c r="E12" t="s">
        <v>25</v>
      </c>
      <c r="F12" t="s">
        <v>8</v>
      </c>
    </row>
    <row r="13" spans="1:9" x14ac:dyDescent="0.3">
      <c r="A13" t="str">
        <f>IF(G13="",VLOOKUP(E13,의사목록!$A:$B,2,FALSE)&amp;VLOOKUP(F13,의사목록!$A:$B,2,FALSE),VLOOKUP(E13,의사목록!$A:$B,2,FALSE)&amp;VLOOKUP(F13,의사목록!$A:$B,2,FALSE)&amp;VLOOKUP(G13,의사목록!$A:$B,2,FALSE))</f>
        <v>박구효</v>
      </c>
      <c r="B13" t="s">
        <v>23</v>
      </c>
      <c r="C13">
        <v>15</v>
      </c>
      <c r="E13" t="s">
        <v>25</v>
      </c>
      <c r="F13" t="s">
        <v>9</v>
      </c>
      <c r="G13" t="s">
        <v>10</v>
      </c>
    </row>
    <row r="14" spans="1:9" x14ac:dyDescent="0.3">
      <c r="A14" t="str">
        <f>IF(G14="",VLOOKUP(E14,의사목록!$A:$B,2,FALSE)&amp;VLOOKUP(F14,의사목록!$A:$B,2,FALSE),VLOOKUP(E14,의사목록!$A:$B,2,FALSE)&amp;VLOOKUP(F14,의사목록!$A:$B,2,FALSE)&amp;VLOOKUP(G14,의사목록!$A:$B,2,FALSE))</f>
        <v>박구황</v>
      </c>
      <c r="B14" t="s">
        <v>23</v>
      </c>
      <c r="C14">
        <v>15</v>
      </c>
      <c r="E14" t="s">
        <v>25</v>
      </c>
      <c r="F14" t="s">
        <v>9</v>
      </c>
      <c r="G14" t="s">
        <v>8</v>
      </c>
    </row>
    <row r="15" spans="1:9" x14ac:dyDescent="0.3">
      <c r="A15" t="str">
        <f>IF(G15="",VLOOKUP(E15,의사목록!$A:$B,2,FALSE)&amp;VLOOKUP(F15,의사목록!$A:$B,2,FALSE),VLOOKUP(E15,의사목록!$A:$B,2,FALSE)&amp;VLOOKUP(F15,의사목록!$A:$B,2,FALSE)&amp;VLOOKUP(G15,의사목록!$A:$B,2,FALSE))</f>
        <v>박구</v>
      </c>
      <c r="B15" t="s">
        <v>23</v>
      </c>
      <c r="C15">
        <v>14</v>
      </c>
      <c r="E15" t="s">
        <v>25</v>
      </c>
      <c r="F15" t="s">
        <v>9</v>
      </c>
    </row>
    <row r="16" spans="1:9" x14ac:dyDescent="0.3">
      <c r="A16" t="str">
        <f>IF(G16="",VLOOKUP(E16,의사목록!$A:$B,2,FALSE)&amp;VLOOKUP(F16,의사목록!$A:$B,2,FALSE),VLOOKUP(E16,의사목록!$A:$B,2,FALSE)&amp;VLOOKUP(F16,의사목록!$A:$B,2,FALSE)&amp;VLOOKUP(G16,의사목록!$A:$B,2,FALSE))</f>
        <v>구황</v>
      </c>
      <c r="B16" t="s">
        <v>23</v>
      </c>
      <c r="C16">
        <v>10</v>
      </c>
      <c r="E16" t="s">
        <v>9</v>
      </c>
      <c r="F16" t="s">
        <v>8</v>
      </c>
    </row>
    <row r="17" spans="1:6" x14ac:dyDescent="0.3">
      <c r="A17" t="str">
        <f>IF(G17="",VLOOKUP(E17,의사목록!$A:$B,2,FALSE)&amp;VLOOKUP(F17,의사목록!$A:$B,2,FALSE),VLOOKUP(E17,의사목록!$A:$B,2,FALSE)&amp;VLOOKUP(F17,의사목록!$A:$B,2,FALSE)&amp;VLOOKUP(G17,의사목록!$A:$B,2,FALSE))</f>
        <v>구효</v>
      </c>
      <c r="B17" t="s">
        <v>23</v>
      </c>
      <c r="C17">
        <v>10</v>
      </c>
      <c r="E17" t="s">
        <v>9</v>
      </c>
      <c r="F17" t="s">
        <v>10</v>
      </c>
    </row>
  </sheetData>
  <phoneticPr fontId="1" type="noConversion"/>
  <pageMargins left="0.7" right="0.7" top="0.75" bottom="0.75" header="0.3" footer="0.3"/>
  <ignoredErrors>
    <ignoredError sqref="C1 B2:B3 A1:B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의사목록!$A:$A</xm:f>
          </x14:formula1>
          <xm:sqref>E1:G1048576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3" sqref="A3"/>
    </sheetView>
  </sheetViews>
  <sheetFormatPr defaultRowHeight="17.25" x14ac:dyDescent="0.3"/>
  <cols>
    <col min="1" max="1" width="11.6640625" bestFit="1" customWidth="1"/>
  </cols>
  <sheetData>
    <row r="1" spans="1:2" x14ac:dyDescent="0.3">
      <c r="A1" t="s">
        <v>7</v>
      </c>
      <c r="B1" t="s">
        <v>15</v>
      </c>
    </row>
    <row r="2" spans="1:2" x14ac:dyDescent="0.3">
      <c r="A2" t="s">
        <v>26</v>
      </c>
      <c r="B2" t="s">
        <v>24</v>
      </c>
    </row>
    <row r="3" spans="1:2" x14ac:dyDescent="0.3">
      <c r="A3" t="s">
        <v>8</v>
      </c>
      <c r="B3" t="s">
        <v>12</v>
      </c>
    </row>
    <row r="4" spans="1:2" x14ac:dyDescent="0.3">
      <c r="A4" t="s">
        <v>9</v>
      </c>
      <c r="B4" t="s">
        <v>13</v>
      </c>
    </row>
    <row r="5" spans="1:2" x14ac:dyDescent="0.3">
      <c r="A5" t="s">
        <v>10</v>
      </c>
      <c r="B5" t="s">
        <v>18</v>
      </c>
    </row>
    <row r="6" spans="1:2" x14ac:dyDescent="0.3">
      <c r="A6" t="s">
        <v>11</v>
      </c>
      <c r="B6" t="s">
        <v>14</v>
      </c>
    </row>
  </sheetData>
  <phoneticPr fontId="1" type="noConversion"/>
  <pageMargins left="0.7" right="0.7" top="0.75" bottom="0.75" header="0.3" footer="0.3"/>
  <pageSetup paperSize="9" orientation="portrait" horizontalDpi="4294967292" r:id="rId1"/>
  <ignoredErrors>
    <ignoredError sqref="A3:A6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의사조합</vt:lpstr>
      <vt:lpstr>의사목록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SEON HU</cp:lastModifiedBy>
  <dcterms:modified xsi:type="dcterms:W3CDTF">2025-10-25T17:53:01Z</dcterms:modified>
</cp:coreProperties>
</file>